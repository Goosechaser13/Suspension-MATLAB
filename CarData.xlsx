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ull\Documents\MATLAB\Suspension-MATLAB\"/>
    </mc:Choice>
  </mc:AlternateContent>
  <xr:revisionPtr revIDLastSave="0" documentId="13_ncr:1_{EBEB7ABB-C153-483D-9D84-5B9449E686C2}" xr6:coauthVersionLast="47" xr6:coauthVersionMax="47" xr10:uidLastSave="{00000000-0000-0000-0000-000000000000}"/>
  <bookViews>
    <workbookView xWindow="5475" yWindow="2505" windowWidth="21600" windowHeight="11835" xr2:uid="{8E514F0D-2B4B-4F97-9824-AFB3030C5F3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B6" i="1"/>
  <c r="D8" i="1"/>
  <c r="C12" i="1"/>
  <c r="C9" i="1"/>
  <c r="B12" i="1"/>
  <c r="B9" i="1"/>
  <c r="B3" i="1"/>
  <c r="C3" i="1" l="1"/>
</calcChain>
</file>

<file path=xl/sharedStrings.xml><?xml version="1.0" encoding="utf-8"?>
<sst xmlns="http://schemas.openxmlformats.org/spreadsheetml/2006/main" count="24" uniqueCount="24">
  <si>
    <t>Spring Rate</t>
  </si>
  <si>
    <t>Property</t>
  </si>
  <si>
    <t>Comments</t>
  </si>
  <si>
    <t>lb/in</t>
  </si>
  <si>
    <t>lbs</t>
  </si>
  <si>
    <t>CG height</t>
  </si>
  <si>
    <t>Front</t>
  </si>
  <si>
    <t>Rear</t>
  </si>
  <si>
    <t>Total</t>
  </si>
  <si>
    <t>%Front</t>
  </si>
  <si>
    <t>Weight</t>
  </si>
  <si>
    <t>Unsprung weight</t>
  </si>
  <si>
    <t>Sprung weight</t>
  </si>
  <si>
    <t>MR</t>
  </si>
  <si>
    <t>Trackwidth</t>
  </si>
  <si>
    <t>Roll Center Height</t>
  </si>
  <si>
    <t>Wheelbase</t>
  </si>
  <si>
    <t>WR</t>
  </si>
  <si>
    <t>wheel rates</t>
  </si>
  <si>
    <t>Tire Rate</t>
  </si>
  <si>
    <t>lb/in assumed</t>
  </si>
  <si>
    <t>Tire Radius</t>
  </si>
  <si>
    <t>in radius</t>
  </si>
  <si>
    <t>&lt;- 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</si>
</sst>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2" borderId="0" xfId="0" applyNumberFormat="1" applyFill="1"/>
    <xf numFmtId="1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unt.sharepoint.com/sites/FSAEBusinessProject/Shared%20Documents/Suspension%20Team/2027%20Work%20Folder/Geometry/27%20Suspension%20Parameters.xlsx" TargetMode="External"/><Relationship Id="rId1" Type="http://schemas.openxmlformats.org/officeDocument/2006/relationships/externalLinkPath" Target="https://myunt.sharepoint.com/sites/FSAEBusinessProject/Shared%20Documents/Suspension%20Team/2027%20Work%20Folder/Geometry/27%20Suspension%20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"/>
      <sheetName val="Rear"/>
    </sheetNames>
    <sheetDataSet>
      <sheetData sheetId="0">
        <row r="9">
          <cell r="B9">
            <v>45.43</v>
          </cell>
        </row>
        <row r="10">
          <cell r="B10">
            <v>2.6</v>
          </cell>
        </row>
        <row r="18">
          <cell r="B18">
            <v>63.5</v>
          </cell>
        </row>
      </sheetData>
      <sheetData sheetId="1">
        <row r="8">
          <cell r="B8">
            <v>43.43</v>
          </cell>
        </row>
        <row r="9">
          <cell r="B9" t="str">
            <v>pos 5.1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C1F-5F57-4DA0-BFE9-42B388434914}">
  <dimension ref="A1:F15"/>
  <sheetViews>
    <sheetView tabSelected="1" workbookViewId="0">
      <selection activeCell="C21" sqref="C21"/>
    </sheetView>
  </sheetViews>
  <sheetFormatPr defaultRowHeight="15" x14ac:dyDescent="0.25"/>
  <cols>
    <col min="1" max="1" width="19.140625" customWidth="1"/>
    <col min="5" max="5" width="14.85546875" customWidth="1"/>
    <col min="6" max="6" width="23.140625" customWidth="1"/>
  </cols>
  <sheetData>
    <row r="1" spans="1:6" x14ac:dyDescent="0.25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2</v>
      </c>
    </row>
    <row r="3" spans="1:6" x14ac:dyDescent="0.25">
      <c r="A3" t="s">
        <v>10</v>
      </c>
      <c r="B3">
        <f>D3*E3</f>
        <v>232</v>
      </c>
      <c r="C3">
        <f>D3-B3</f>
        <v>348</v>
      </c>
      <c r="D3" s="4">
        <v>580</v>
      </c>
      <c r="E3" s="1">
        <v>0.4</v>
      </c>
      <c r="F3" t="s">
        <v>4</v>
      </c>
    </row>
    <row r="4" spans="1:6" x14ac:dyDescent="0.25">
      <c r="A4" t="s">
        <v>11</v>
      </c>
      <c r="D4" s="2">
        <v>448</v>
      </c>
    </row>
    <row r="5" spans="1:6" x14ac:dyDescent="0.25">
      <c r="A5" t="s">
        <v>12</v>
      </c>
      <c r="D5" s="2"/>
      <c r="E5" s="3"/>
    </row>
    <row r="6" spans="1:6" x14ac:dyDescent="0.25">
      <c r="A6" t="s">
        <v>17</v>
      </c>
      <c r="B6">
        <f>D10*((B7)^2)</f>
        <v>150</v>
      </c>
      <c r="C6">
        <f>D10*(C7^2)</f>
        <v>150</v>
      </c>
      <c r="F6" t="s">
        <v>18</v>
      </c>
    </row>
    <row r="7" spans="1:6" x14ac:dyDescent="0.25">
      <c r="A7" t="s">
        <v>13</v>
      </c>
      <c r="B7" s="4">
        <v>1</v>
      </c>
      <c r="C7" s="4">
        <v>1</v>
      </c>
    </row>
    <row r="8" spans="1:6" x14ac:dyDescent="0.25">
      <c r="A8" t="s">
        <v>16</v>
      </c>
      <c r="D8" s="5">
        <f>[1]Front!$B$18</f>
        <v>63.5</v>
      </c>
    </row>
    <row r="9" spans="1:6" x14ac:dyDescent="0.25">
      <c r="A9" t="s">
        <v>14</v>
      </c>
      <c r="B9" s="5">
        <f>[1]Front!$B$9</f>
        <v>45.43</v>
      </c>
      <c r="C9" s="5">
        <f>[1]Rear!$B$8</f>
        <v>43.43</v>
      </c>
    </row>
    <row r="10" spans="1:6" x14ac:dyDescent="0.25">
      <c r="A10" t="s">
        <v>0</v>
      </c>
      <c r="D10">
        <v>150</v>
      </c>
      <c r="F10" t="s">
        <v>3</v>
      </c>
    </row>
    <row r="11" spans="1:6" x14ac:dyDescent="0.25">
      <c r="A11" t="s">
        <v>5</v>
      </c>
      <c r="D11" s="4">
        <v>13</v>
      </c>
    </row>
    <row r="12" spans="1:6" x14ac:dyDescent="0.25">
      <c r="A12" t="s">
        <v>15</v>
      </c>
      <c r="B12" s="5">
        <f>[1]Front!$B$10</f>
        <v>2.6</v>
      </c>
      <c r="C12" s="6">
        <f>_xlfn.REGEXREPLACE([1]Rear!$B$9, "[^0-9.]", "") +0</f>
        <v>5.0999999999999996</v>
      </c>
    </row>
    <row r="14" spans="1:6" x14ac:dyDescent="0.25">
      <c r="A14" t="s">
        <v>19</v>
      </c>
      <c r="D14" s="4">
        <v>480</v>
      </c>
      <c r="E14" t="s">
        <v>23</v>
      </c>
      <c r="F14" t="s">
        <v>20</v>
      </c>
    </row>
    <row r="15" spans="1:6" x14ac:dyDescent="0.25">
      <c r="A15" t="s">
        <v>21</v>
      </c>
      <c r="D15" s="4">
        <v>8</v>
      </c>
      <c r="F15" t="s">
        <v>22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Mullens, Paxton</dc:creator>
  <cp:lastModifiedBy>Mullens, Paxton</cp:lastModifiedBy>
  <dcterms:created xsi:type="dcterms:W3CDTF">2026-10-28T23:09:52Z</dcterms:created>
  <dcterms:modified xsi:type="dcterms:W3CDTF">2026-10-30T22:53:06Z</dcterms:modified>
</cp:coreProperties>
</file>